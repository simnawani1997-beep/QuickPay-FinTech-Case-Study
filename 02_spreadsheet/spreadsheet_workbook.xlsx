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TSOM\Graded Assignment QuickPay FinTech Operations Case Study\processed\"/>
    </mc:Choice>
  </mc:AlternateContent>
  <xr:revisionPtr revIDLastSave="0" documentId="13_ncr:9_{B74C00AF-6D3F-4E8A-B6F7-756F3C3A0583}" xr6:coauthVersionLast="47" xr6:coauthVersionMax="47" xr10:uidLastSave="{00000000-0000-0000-0000-000000000000}"/>
  <bookViews>
    <workbookView xWindow="-108" yWindow="-108" windowWidth="23256" windowHeight="12456" xr2:uid="{6233DB4A-538D-4907-8AEB-3419F2794F5A}"/>
  </bookViews>
  <sheets>
    <sheet name="cleaned_transactions" sheetId="1" r:id="rId1"/>
  </sheets>
  <externalReferences>
    <externalReference r:id="rId2"/>
    <externalReference r:id="rId3"/>
  </externalReferences>
  <definedNames>
    <definedName name="_xlnm._FilterDatabase" localSheetId="0" hidden="1">cleaned_transactions!$A$1:$R$31</definedName>
  </definedNames>
  <calcPr calcId="0"/>
</workbook>
</file>

<file path=xl/calcChain.xml><?xml version="1.0" encoding="utf-8"?>
<calcChain xmlns="http://schemas.openxmlformats.org/spreadsheetml/2006/main">
  <c r="L31" i="1" l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N31" i="1"/>
  <c r="Q31" i="1" s="1"/>
  <c r="N30" i="1"/>
  <c r="Q30" i="1" s="1"/>
  <c r="N29" i="1"/>
  <c r="Q29" i="1" s="1"/>
  <c r="N28" i="1"/>
  <c r="Q28" i="1" s="1"/>
  <c r="N27" i="1"/>
  <c r="Q27" i="1" s="1"/>
  <c r="N26" i="1"/>
  <c r="Q26" i="1" s="1"/>
  <c r="N25" i="1"/>
  <c r="Q25" i="1" s="1"/>
  <c r="N24" i="1"/>
  <c r="Q24" i="1" s="1"/>
  <c r="N23" i="1"/>
  <c r="Q23" i="1" s="1"/>
  <c r="N21" i="1"/>
  <c r="Q21" i="1" s="1"/>
  <c r="N20" i="1"/>
  <c r="Q20" i="1" s="1"/>
  <c r="N19" i="1"/>
  <c r="Q19" i="1" s="1"/>
  <c r="N18" i="1"/>
  <c r="Q18" i="1" s="1"/>
  <c r="N15" i="1"/>
  <c r="Q15" i="1" s="1"/>
  <c r="N14" i="1"/>
  <c r="Q14" i="1" s="1"/>
  <c r="N13" i="1"/>
  <c r="Q13" i="1" s="1"/>
  <c r="N10" i="1"/>
  <c r="Q10" i="1" s="1"/>
  <c r="N8" i="1"/>
  <c r="Q8" i="1" s="1"/>
  <c r="N5" i="1"/>
  <c r="Q5" i="1" s="1"/>
  <c r="N4" i="1"/>
  <c r="Q4" i="1" s="1"/>
  <c r="N2" i="1"/>
  <c r="Q2" i="1" s="1"/>
  <c r="R21" i="1" l="1"/>
  <c r="J31" i="1"/>
  <c r="R31" i="1" s="1"/>
  <c r="J30" i="1"/>
  <c r="R30" i="1" s="1"/>
  <c r="J29" i="1"/>
  <c r="R29" i="1" s="1"/>
  <c r="J28" i="1"/>
  <c r="R28" i="1" s="1"/>
  <c r="J27" i="1"/>
  <c r="R27" i="1" s="1"/>
  <c r="J26" i="1"/>
  <c r="R26" i="1" s="1"/>
  <c r="J25" i="1"/>
  <c r="R25" i="1" s="1"/>
  <c r="J24" i="1"/>
  <c r="R24" i="1" s="1"/>
  <c r="J23" i="1"/>
  <c r="R23" i="1" s="1"/>
  <c r="J22" i="1"/>
  <c r="R22" i="1" s="1"/>
  <c r="J21" i="1"/>
  <c r="J20" i="1"/>
  <c r="R20" i="1" s="1"/>
  <c r="J19" i="1"/>
  <c r="R19" i="1" s="1"/>
  <c r="J18" i="1"/>
  <c r="R18" i="1" s="1"/>
  <c r="J17" i="1"/>
  <c r="R17" i="1" s="1"/>
  <c r="J16" i="1"/>
  <c r="R16" i="1" s="1"/>
  <c r="J15" i="1"/>
  <c r="R15" i="1" s="1"/>
  <c r="J14" i="1"/>
  <c r="R14" i="1" s="1"/>
  <c r="J13" i="1"/>
  <c r="R13" i="1" s="1"/>
  <c r="J12" i="1"/>
  <c r="R12" i="1" s="1"/>
  <c r="J11" i="1"/>
  <c r="R11" i="1" s="1"/>
  <c r="J10" i="1"/>
  <c r="R10" i="1" s="1"/>
  <c r="J9" i="1"/>
  <c r="R9" i="1" s="1"/>
  <c r="J8" i="1"/>
  <c r="R8" i="1" s="1"/>
  <c r="J7" i="1"/>
  <c r="R7" i="1" s="1"/>
  <c r="J6" i="1"/>
  <c r="R6" i="1" s="1"/>
  <c r="J5" i="1"/>
  <c r="R5" i="1" s="1"/>
  <c r="J4" i="1"/>
  <c r="R4" i="1" s="1"/>
  <c r="J3" i="1"/>
  <c r="R3" i="1" s="1"/>
  <c r="J2" i="1"/>
  <c r="R2" i="1" s="1"/>
  <c r="E31" i="1"/>
  <c r="E30" i="1"/>
  <c r="E29" i="1"/>
  <c r="E28" i="1"/>
  <c r="E27" i="1"/>
  <c r="E26" i="1"/>
  <c r="E25" i="1"/>
  <c r="E24" i="1"/>
  <c r="E23" i="1"/>
  <c r="E22" i="1"/>
  <c r="N22" i="1" s="1"/>
  <c r="Q22" i="1" s="1"/>
  <c r="E21" i="1"/>
  <c r="E20" i="1"/>
  <c r="E19" i="1"/>
  <c r="E18" i="1"/>
  <c r="E17" i="1"/>
  <c r="N17" i="1" s="1"/>
  <c r="Q17" i="1" s="1"/>
  <c r="E16" i="1"/>
  <c r="N16" i="1" s="1"/>
  <c r="Q16" i="1" s="1"/>
  <c r="E15" i="1"/>
  <c r="E14" i="1"/>
  <c r="E13" i="1"/>
  <c r="E12" i="1"/>
  <c r="N12" i="1" s="1"/>
  <c r="Q12" i="1" s="1"/>
  <c r="E11" i="1"/>
  <c r="N11" i="1" s="1"/>
  <c r="Q11" i="1" s="1"/>
  <c r="E10" i="1"/>
  <c r="E9" i="1"/>
  <c r="N9" i="1" s="1"/>
  <c r="Q9" i="1" s="1"/>
  <c r="E8" i="1"/>
  <c r="E7" i="1"/>
  <c r="N7" i="1" s="1"/>
  <c r="Q7" i="1" s="1"/>
  <c r="E6" i="1"/>
  <c r="N6" i="1" s="1"/>
  <c r="Q6" i="1" s="1"/>
  <c r="E5" i="1"/>
  <c r="E4" i="1"/>
  <c r="E3" i="1"/>
  <c r="N3" i="1" s="1"/>
  <c r="Q3" i="1" s="1"/>
  <c r="E2" i="1"/>
</calcChain>
</file>

<file path=xl/sharedStrings.xml><?xml version="1.0" encoding="utf-8"?>
<sst xmlns="http://schemas.openxmlformats.org/spreadsheetml/2006/main" count="219" uniqueCount="96">
  <si>
    <t>transaction_id</t>
  </si>
  <si>
    <t>transaction_date</t>
  </si>
  <si>
    <t>merchant_name</t>
  </si>
  <si>
    <t>raw_amount</t>
  </si>
  <si>
    <t>currency</t>
  </si>
  <si>
    <t>status</t>
  </si>
  <si>
    <t>risk_score</t>
  </si>
  <si>
    <t>gateway_region</t>
  </si>
  <si>
    <t>user_id</t>
  </si>
  <si>
    <t>payment_method</t>
  </si>
  <si>
    <t>T001</t>
  </si>
  <si>
    <t xml:space="preserve"> alpha mart </t>
  </si>
  <si>
    <t>INR</t>
  </si>
  <si>
    <t>captured</t>
  </si>
  <si>
    <t>APAC</t>
  </si>
  <si>
    <t>U001</t>
  </si>
  <si>
    <t>UPI</t>
  </si>
  <si>
    <t>T002</t>
  </si>
  <si>
    <t>ALPHA MART</t>
  </si>
  <si>
    <t xml:space="preserve">Captured </t>
  </si>
  <si>
    <t>U002</t>
  </si>
  <si>
    <t>Card</t>
  </si>
  <si>
    <t>T003</t>
  </si>
  <si>
    <t xml:space="preserve">BETA STORES </t>
  </si>
  <si>
    <t xml:space="preserve"> CAPTURED</t>
  </si>
  <si>
    <t xml:space="preserve"> APAC </t>
  </si>
  <si>
    <t>U003</t>
  </si>
  <si>
    <t>NetBanking</t>
  </si>
  <si>
    <t>T004</t>
  </si>
  <si>
    <t>Beta  Stores</t>
  </si>
  <si>
    <t xml:space="preserve"> failed e05 timeout </t>
  </si>
  <si>
    <t>apac</t>
  </si>
  <si>
    <t>U004</t>
  </si>
  <si>
    <t>T005</t>
  </si>
  <si>
    <t>Alpha Mart</t>
  </si>
  <si>
    <t>T006</t>
  </si>
  <si>
    <t>U005</t>
  </si>
  <si>
    <t>Wallet</t>
  </si>
  <si>
    <t>T007</t>
  </si>
  <si>
    <t>Alpha  Mart</t>
  </si>
  <si>
    <t>chargeback</t>
  </si>
  <si>
    <t>U006</t>
  </si>
  <si>
    <t>T008</t>
  </si>
  <si>
    <t>U007</t>
  </si>
  <si>
    <t>T009</t>
  </si>
  <si>
    <t>T010</t>
  </si>
  <si>
    <t>Beta Stores</t>
  </si>
  <si>
    <t>T011</t>
  </si>
  <si>
    <t>FAILED e05 TIMEOUT</t>
  </si>
  <si>
    <t>U008</t>
  </si>
  <si>
    <t>T012</t>
  </si>
  <si>
    <t xml:space="preserve">captured </t>
  </si>
  <si>
    <t>U009</t>
  </si>
  <si>
    <t>T013</t>
  </si>
  <si>
    <t>U010</t>
  </si>
  <si>
    <t>T014</t>
  </si>
  <si>
    <t>T015</t>
  </si>
  <si>
    <t>T016</t>
  </si>
  <si>
    <t>failed E05 timeout</t>
  </si>
  <si>
    <t>T017</t>
  </si>
  <si>
    <t>Failed E05 Timeout</t>
  </si>
  <si>
    <t>T018</t>
  </si>
  <si>
    <t xml:space="preserve"> chargeback </t>
  </si>
  <si>
    <t>T019</t>
  </si>
  <si>
    <t>T020</t>
  </si>
  <si>
    <t>T021</t>
  </si>
  <si>
    <t xml:space="preserve"> beta stores</t>
  </si>
  <si>
    <t>T022</t>
  </si>
  <si>
    <t>T023</t>
  </si>
  <si>
    <t>City Pharma</t>
  </si>
  <si>
    <t>EUR</t>
  </si>
  <si>
    <t xml:space="preserve"> EU </t>
  </si>
  <si>
    <t>T024</t>
  </si>
  <si>
    <t>Eco Home</t>
  </si>
  <si>
    <t>EU</t>
  </si>
  <si>
    <t>T025</t>
  </si>
  <si>
    <t>eu</t>
  </si>
  <si>
    <t>T026</t>
  </si>
  <si>
    <t>T027</t>
  </si>
  <si>
    <t>DELTA TRAVELS</t>
  </si>
  <si>
    <t>USD</t>
  </si>
  <si>
    <t>us</t>
  </si>
  <si>
    <t>T028</t>
  </si>
  <si>
    <t>Delta Travels</t>
  </si>
  <si>
    <t>US</t>
  </si>
  <si>
    <t>T029</t>
  </si>
  <si>
    <t xml:space="preserve">delta travels </t>
  </si>
  <si>
    <t>T030</t>
  </si>
  <si>
    <t>clean_merchant_name</t>
  </si>
  <si>
    <t>clean_status</t>
  </si>
  <si>
    <t>clean_gateway_region</t>
  </si>
  <si>
    <t>clean_risk_score</t>
  </si>
  <si>
    <t>clean_transaction_date</t>
  </si>
  <si>
    <t>amount_usd</t>
  </si>
  <si>
    <t>High_Value_Flag</t>
  </si>
  <si>
    <t>High_Risk_Flag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</si>
</sst>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3" borderId="0" xfId="0" applyFill="1"/>
    <xf numFmtId="165" fontId="0" fillId="33" borderId="0" xfId="0" applyNumberFormat="1" applyFill="1"/>
    <xf numFmtId="2" fontId="0" fillId="33" borderId="0" xfId="0" applyNumberFormat="1" applyFill="1"/>
    <xf numFmtId="2" fontId="0" fillId="33" borderId="0" xfId="0" applyNumberFormat="1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erchant_master.csv" TargetMode="External"/><Relationship Id="rId2" Type="http://schemas.openxmlformats.org/officeDocument/2006/relationships/externalLinkPath" Target="file:///C:\BITSOM\Graded%20Assignment%20QuickPay%20FinTech%20Operations%20Case%20Study\merchant_master.csv" TargetMode="External"/><Relationship Id="rId1" Type="http://schemas.openxmlformats.org/officeDocument/2006/relationships/externalLinkPath" Target="/BITSOM/Graded%20Assignment%20QuickPay%20FinTech%20Operations%20Case%20Study/merchant_master.csv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change_rates.csv" TargetMode="External"/><Relationship Id="rId2" Type="http://schemas.openxmlformats.org/officeDocument/2006/relationships/externalLinkPath" Target="file:///C:\BITSOM\Graded%20Assignment%20QuickPay%20FinTech%20Operations%20Case%20Study\exchange_rates.csv" TargetMode="External"/><Relationship Id="rId1" Type="http://schemas.openxmlformats.org/officeDocument/2006/relationships/externalLinkPath" Target="/BITSOM/Graded%20Assignment%20QuickPay%20FinTech%20Operations%20Case%20Study/exchange_rate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erchant_master"/>
    </sheetNames>
    <sheetDataSet>
      <sheetData sheetId="0">
        <row r="1">
          <cell r="B1" t="str">
            <v>merchant_name</v>
          </cell>
          <cell r="C1" t="str">
            <v>account_manager</v>
          </cell>
          <cell r="D1" t="str">
            <v>merchant_category</v>
          </cell>
          <cell r="E1" t="str">
            <v>default_region</v>
          </cell>
        </row>
        <row r="2">
          <cell r="B2" t="str">
            <v>Alpha Mart</v>
          </cell>
          <cell r="C2" t="str">
            <v>Aisha Khan</v>
          </cell>
          <cell r="D2" t="str">
            <v>Grocery</v>
          </cell>
          <cell r="E2" t="str">
            <v>APAC</v>
          </cell>
        </row>
        <row r="3">
          <cell r="B3" t="str">
            <v>Beta Stores</v>
          </cell>
          <cell r="C3" t="str">
            <v>Rohan Mehta</v>
          </cell>
          <cell r="D3" t="str">
            <v>Electronics</v>
          </cell>
          <cell r="E3" t="str">
            <v>APAC</v>
          </cell>
        </row>
        <row r="4">
          <cell r="B4" t="str">
            <v>City Pharma</v>
          </cell>
          <cell r="C4" t="str">
            <v>Elena Rossi</v>
          </cell>
          <cell r="D4" t="str">
            <v>Healthcare</v>
          </cell>
          <cell r="E4" t="str">
            <v>EU</v>
          </cell>
        </row>
        <row r="5">
          <cell r="B5" t="str">
            <v>Delta Travels</v>
          </cell>
          <cell r="C5" t="str">
            <v>Marcus Lee</v>
          </cell>
          <cell r="D5" t="str">
            <v>Travel</v>
          </cell>
          <cell r="E5" t="str">
            <v>US</v>
          </cell>
        </row>
        <row r="6">
          <cell r="B6" t="str">
            <v>Eco Home</v>
          </cell>
          <cell r="C6" t="str">
            <v>Nina Weber</v>
          </cell>
          <cell r="D6" t="str">
            <v>Home</v>
          </cell>
          <cell r="E6" t="str">
            <v>EU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xchange_rates"/>
    </sheetNames>
    <sheetDataSet>
      <sheetData sheetId="0">
        <row r="1">
          <cell r="B1" t="str">
            <v>currency</v>
          </cell>
          <cell r="C1" t="str">
            <v>usd_rate</v>
          </cell>
        </row>
        <row r="2">
          <cell r="B2" t="str">
            <v>INR</v>
          </cell>
          <cell r="C2">
            <v>1.1900000000000001E-2</v>
          </cell>
        </row>
        <row r="3">
          <cell r="B3" t="str">
            <v>EUR</v>
          </cell>
          <cell r="C3">
            <v>1.08</v>
          </cell>
        </row>
        <row r="4">
          <cell r="B4" t="str">
            <v>USD</v>
          </cell>
          <cell r="C4">
            <v>1</v>
          </cell>
        </row>
        <row r="5">
          <cell r="B5" t="str">
            <v>INR</v>
          </cell>
          <cell r="C5">
            <v>1.2E-2</v>
          </cell>
        </row>
        <row r="6">
          <cell r="B6" t="str">
            <v>EUR</v>
          </cell>
          <cell r="C6">
            <v>1.0900000000000001</v>
          </cell>
        </row>
        <row r="7">
          <cell r="B7" t="str">
            <v>USD</v>
          </cell>
          <cell r="C7">
            <v>1</v>
          </cell>
        </row>
        <row r="8">
          <cell r="B8" t="str">
            <v>INR</v>
          </cell>
          <cell r="C8">
            <v>1.21E-2</v>
          </cell>
        </row>
        <row r="9">
          <cell r="B9" t="str">
            <v>EUR</v>
          </cell>
          <cell r="C9">
            <v>1.08</v>
          </cell>
        </row>
        <row r="10">
          <cell r="B10" t="str">
            <v>USD</v>
          </cell>
          <cell r="C10">
            <v>1</v>
          </cell>
        </row>
        <row r="11">
          <cell r="B11" t="str">
            <v>INR</v>
          </cell>
          <cell r="C11">
            <v>1.2E-2</v>
          </cell>
        </row>
        <row r="12">
          <cell r="B12" t="str">
            <v>EUR</v>
          </cell>
          <cell r="C12">
            <v>1.07</v>
          </cell>
        </row>
        <row r="13">
          <cell r="B13" t="str">
            <v>USD</v>
          </cell>
          <cell r="C13">
            <v>1</v>
          </cell>
        </row>
        <row r="14">
          <cell r="B14" t="str">
            <v>INR</v>
          </cell>
          <cell r="C14">
            <v>1.18E-2</v>
          </cell>
        </row>
        <row r="15">
          <cell r="B15" t="str">
            <v>EUR</v>
          </cell>
          <cell r="C15">
            <v>1.0900000000000001</v>
          </cell>
        </row>
        <row r="16">
          <cell r="B16" t="str">
            <v>USD</v>
          </cell>
          <cell r="C16">
            <v>1</v>
          </cell>
        </row>
        <row r="17">
          <cell r="B17" t="str">
            <v>INR</v>
          </cell>
          <cell r="C17">
            <v>1.1900000000000001E-2</v>
          </cell>
        </row>
        <row r="18">
          <cell r="B18" t="str">
            <v>EUR</v>
          </cell>
          <cell r="C18">
            <v>1.08</v>
          </cell>
        </row>
        <row r="19">
          <cell r="B19" t="str">
            <v>USD</v>
          </cell>
          <cell r="C19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68E5B-A895-4D5A-A461-CCD08B0A2175}">
  <dimension ref="A1:R31"/>
  <sheetViews>
    <sheetView tabSelected="1" workbookViewId="0"/>
  </sheetViews>
  <sheetFormatPr defaultRowHeight="14.4" x14ac:dyDescent="0.3"/>
  <cols>
    <col min="1" max="1" width="12.6640625" bestFit="1" customWidth="1"/>
    <col min="2" max="2" width="15" bestFit="1" customWidth="1"/>
    <col min="3" max="3" width="20.44140625" bestFit="1" customWidth="1"/>
    <col min="4" max="4" width="14.44140625" bestFit="1" customWidth="1"/>
    <col min="5" max="5" width="22" bestFit="1" customWidth="1"/>
    <col min="6" max="6" width="11.44140625" bestFit="1" customWidth="1"/>
    <col min="7" max="7" width="8" bestFit="1" customWidth="1"/>
    <col min="8" max="8" width="11.109375" bestFit="1" customWidth="1"/>
    <col min="9" max="9" width="18.6640625" bestFit="1" customWidth="1"/>
    <col min="10" max="10" width="18.6640625" customWidth="1"/>
    <col min="11" max="11" width="9.21875" bestFit="1" customWidth="1"/>
    <col min="12" max="12" width="18.44140625" bestFit="1" customWidth="1"/>
    <col min="13" max="13" width="14.109375" bestFit="1" customWidth="1"/>
    <col min="14" max="14" width="19.5546875" bestFit="1" customWidth="1"/>
    <col min="15" max="15" width="6.88671875" bestFit="1" customWidth="1"/>
    <col min="16" max="16" width="15.5546875" bestFit="1" customWidth="1"/>
    <col min="17" max="17" width="14.44140625" bestFit="1" customWidth="1"/>
    <col min="18" max="18" width="13.109375" bestFit="1" customWidth="1"/>
  </cols>
  <sheetData>
    <row r="1" spans="1:18" x14ac:dyDescent="0.3">
      <c r="A1" t="s">
        <v>0</v>
      </c>
      <c r="B1" t="s">
        <v>1</v>
      </c>
      <c r="C1" s="2" t="s">
        <v>92</v>
      </c>
      <c r="D1" t="s">
        <v>2</v>
      </c>
      <c r="E1" s="2" t="s">
        <v>88</v>
      </c>
      <c r="F1" t="s">
        <v>3</v>
      </c>
      <c r="G1" t="s">
        <v>4</v>
      </c>
      <c r="H1" s="2" t="s">
        <v>93</v>
      </c>
      <c r="I1" t="s">
        <v>5</v>
      </c>
      <c r="J1" s="2" t="s">
        <v>89</v>
      </c>
      <c r="K1" t="s">
        <v>6</v>
      </c>
      <c r="L1" s="2" t="s">
        <v>91</v>
      </c>
      <c r="M1" t="s">
        <v>7</v>
      </c>
      <c r="N1" s="2" t="s">
        <v>90</v>
      </c>
      <c r="O1" t="s">
        <v>8</v>
      </c>
      <c r="P1" t="s">
        <v>9</v>
      </c>
      <c r="Q1" s="2" t="s">
        <v>94</v>
      </c>
      <c r="R1" s="2" t="s">
        <v>95</v>
      </c>
    </row>
    <row r="2" spans="1:18" x14ac:dyDescent="0.3">
      <c r="A2" t="s">
        <v>10</v>
      </c>
      <c r="B2" s="1">
        <v>46082</v>
      </c>
      <c r="C2" s="3">
        <v>46082</v>
      </c>
      <c r="D2" t="s">
        <v>11</v>
      </c>
      <c r="E2" s="2" t="str">
        <f>PROPER(TRIM(D2))</f>
        <v>Alpha Mart</v>
      </c>
      <c r="F2">
        <v>420000</v>
      </c>
      <c r="G2" t="s">
        <v>12</v>
      </c>
      <c r="H2" s="2">
        <f>F2*IFERROR(VLOOKUP(G2,[2]exchange_rates!$B$1:$C$19,2,0),1)</f>
        <v>4998</v>
      </c>
      <c r="I2" t="s">
        <v>13</v>
      </c>
      <c r="J2" s="2" t="str">
        <f>PROPER(TRIM(I2))</f>
        <v>Captured</v>
      </c>
      <c r="K2">
        <v>62</v>
      </c>
      <c r="L2" s="4">
        <f>IF(ISNUMBER(K2),K2,"0.00")</f>
        <v>62</v>
      </c>
      <c r="M2" t="s">
        <v>14</v>
      </c>
      <c r="N2" s="2" t="str">
        <f>IF(TRIM(M2)&lt;&gt;"", UPPER(TRIM(M2)), IFERROR(VLOOKUP(E2,[1]merchant_master!$B$1:$E$6,4,0), "UNKNOWN"))</f>
        <v>APAC</v>
      </c>
      <c r="O2" t="s">
        <v>15</v>
      </c>
      <c r="P2" t="s">
        <v>16</v>
      </c>
      <c r="Q2" s="2">
        <f>IF(AND(N2="APAC",H2&gt;5000),1,IF(AND(N2="EU",H2&gt;6000),1,IF(AND(N2="US",H2&gt;7000),1,0)))</f>
        <v>0</v>
      </c>
      <c r="R2" s="2">
        <f>IF(OR(L2&gt;70,J2="CHARGEBACK"),1,0)</f>
        <v>0</v>
      </c>
    </row>
    <row r="3" spans="1:18" x14ac:dyDescent="0.3">
      <c r="A3" t="s">
        <v>17</v>
      </c>
      <c r="B3" s="1">
        <v>46082</v>
      </c>
      <c r="C3" s="3">
        <v>46082</v>
      </c>
      <c r="D3" t="s">
        <v>18</v>
      </c>
      <c r="E3" s="2" t="str">
        <f t="shared" ref="E3:E31" si="0">PROPER(TRIM(D3))</f>
        <v>Alpha Mart</v>
      </c>
      <c r="F3">
        <v>210000</v>
      </c>
      <c r="G3" t="s">
        <v>12</v>
      </c>
      <c r="H3" s="2">
        <f>F3*IFERROR(VLOOKUP(G3,[2]exchange_rates!$B$1:$C$19,2,0),1)</f>
        <v>2499</v>
      </c>
      <c r="I3" t="s">
        <v>19</v>
      </c>
      <c r="J3" s="2" t="str">
        <f>PROPER(TRIM(I3))</f>
        <v>Captured</v>
      </c>
      <c r="K3">
        <v>55</v>
      </c>
      <c r="L3" s="4">
        <f t="shared" ref="L3:L31" si="1">IF(ISNUMBER(K3),K3,"0.00")</f>
        <v>55</v>
      </c>
      <c r="N3" s="2" t="str">
        <f>IF(TRIM(M3)&lt;&gt;"", UPPER(TRIM(M3)), IFERROR(VLOOKUP(E3,[1]merchant_master!$B$1:$E$6,4,0), "UNKNOWN"))</f>
        <v>APAC</v>
      </c>
      <c r="O3" t="s">
        <v>20</v>
      </c>
      <c r="P3" t="s">
        <v>21</v>
      </c>
      <c r="Q3" s="2">
        <f t="shared" ref="Q3:Q31" si="2">IF(AND(N3="APAC",H3&gt;5000),1,IF(AND(N3="EU",H3&gt;6000),1,IF(AND(N3="US",H3&gt;7000),1,0)))</f>
        <v>0</v>
      </c>
      <c r="R3" s="2">
        <f t="shared" ref="R3:R31" si="3">IF(OR(L3&gt;70,J3="CHARGEBACK"),1,0)</f>
        <v>0</v>
      </c>
    </row>
    <row r="4" spans="1:18" x14ac:dyDescent="0.3">
      <c r="A4" t="s">
        <v>22</v>
      </c>
      <c r="B4" s="1">
        <v>46082</v>
      </c>
      <c r="C4" s="3">
        <v>46082</v>
      </c>
      <c r="D4" t="s">
        <v>23</v>
      </c>
      <c r="E4" s="2" t="str">
        <f t="shared" si="0"/>
        <v>Beta Stores</v>
      </c>
      <c r="F4">
        <v>510000</v>
      </c>
      <c r="G4" t="s">
        <v>12</v>
      </c>
      <c r="H4" s="2">
        <f>F4*IFERROR(VLOOKUP(G4,[2]exchange_rates!$B$1:$C$19,2,0),1)</f>
        <v>6069</v>
      </c>
      <c r="I4" t="s">
        <v>24</v>
      </c>
      <c r="J4" s="2" t="str">
        <f>PROPER(TRIM(I4))</f>
        <v>Captured</v>
      </c>
      <c r="K4">
        <v>71</v>
      </c>
      <c r="L4" s="4">
        <f t="shared" si="1"/>
        <v>71</v>
      </c>
      <c r="M4" t="s">
        <v>25</v>
      </c>
      <c r="N4" s="2" t="str">
        <f>IF(TRIM(M4)&lt;&gt;"", UPPER(TRIM(M4)), IFERROR(VLOOKUP(E4,[1]merchant_master!$B$1:$E$6,4,0), "UNKNOWN"))</f>
        <v>APAC</v>
      </c>
      <c r="O4" t="s">
        <v>26</v>
      </c>
      <c r="P4" t="s">
        <v>27</v>
      </c>
      <c r="Q4" s="2">
        <f t="shared" si="2"/>
        <v>1</v>
      </c>
      <c r="R4" s="2">
        <f t="shared" si="3"/>
        <v>1</v>
      </c>
    </row>
    <row r="5" spans="1:18" x14ac:dyDescent="0.3">
      <c r="A5" t="s">
        <v>28</v>
      </c>
      <c r="B5" s="1">
        <v>46083</v>
      </c>
      <c r="C5" s="3">
        <v>46083</v>
      </c>
      <c r="D5" t="s">
        <v>29</v>
      </c>
      <c r="E5" s="2" t="str">
        <f t="shared" si="0"/>
        <v>Beta Stores</v>
      </c>
      <c r="F5">
        <v>160000</v>
      </c>
      <c r="G5" t="s">
        <v>12</v>
      </c>
      <c r="H5" s="2">
        <f>F5*IFERROR(VLOOKUP(G5,[2]exchange_rates!$B$1:$C$19,2,0),1)</f>
        <v>1904.0000000000002</v>
      </c>
      <c r="I5" t="s">
        <v>30</v>
      </c>
      <c r="J5" s="2" t="str">
        <f>PROPER(TRIM(I5))</f>
        <v>Failed E05 Timeout</v>
      </c>
      <c r="K5">
        <v>68</v>
      </c>
      <c r="L5" s="4">
        <f t="shared" si="1"/>
        <v>68</v>
      </c>
      <c r="M5" t="s">
        <v>31</v>
      </c>
      <c r="N5" s="2" t="str">
        <f>IF(TRIM(M5)&lt;&gt;"", UPPER(TRIM(M5)), IFERROR(VLOOKUP(E5,[1]merchant_master!$B$1:$E$6,4,0), "UNKNOWN"))</f>
        <v>APAC</v>
      </c>
      <c r="O5" t="s">
        <v>32</v>
      </c>
      <c r="P5" t="s">
        <v>21</v>
      </c>
      <c r="Q5" s="2">
        <f t="shared" si="2"/>
        <v>0</v>
      </c>
      <c r="R5" s="2">
        <f t="shared" si="3"/>
        <v>0</v>
      </c>
    </row>
    <row r="6" spans="1:18" x14ac:dyDescent="0.3">
      <c r="A6" t="s">
        <v>33</v>
      </c>
      <c r="B6" s="1">
        <v>46083</v>
      </c>
      <c r="C6" s="3">
        <v>46083</v>
      </c>
      <c r="D6" t="s">
        <v>34</v>
      </c>
      <c r="E6" s="2" t="str">
        <f t="shared" si="0"/>
        <v>Alpha Mart</v>
      </c>
      <c r="F6">
        <v>390000</v>
      </c>
      <c r="G6" t="s">
        <v>12</v>
      </c>
      <c r="H6" s="2">
        <f>F6*IFERROR(VLOOKUP(G6,[2]exchange_rates!$B$1:$C$19,2,0),1)</f>
        <v>4641</v>
      </c>
      <c r="I6" t="s">
        <v>24</v>
      </c>
      <c r="J6" s="2" t="str">
        <f>PROPER(TRIM(I6))</f>
        <v>Captured</v>
      </c>
      <c r="K6">
        <v>58</v>
      </c>
      <c r="L6" s="4">
        <f t="shared" si="1"/>
        <v>58</v>
      </c>
      <c r="N6" s="2" t="str">
        <f>IF(TRIM(M6)&lt;&gt;"", UPPER(TRIM(M6)), IFERROR(VLOOKUP(E6,[1]merchant_master!$B$1:$E$6,4,0), "UNKNOWN"))</f>
        <v>APAC</v>
      </c>
      <c r="O6" t="s">
        <v>15</v>
      </c>
      <c r="P6" t="s">
        <v>16</v>
      </c>
      <c r="Q6" s="2">
        <f t="shared" si="2"/>
        <v>0</v>
      </c>
      <c r="R6" s="2">
        <f t="shared" si="3"/>
        <v>0</v>
      </c>
    </row>
    <row r="7" spans="1:18" x14ac:dyDescent="0.3">
      <c r="A7" t="s">
        <v>35</v>
      </c>
      <c r="B7" s="1">
        <v>46083</v>
      </c>
      <c r="C7" s="3">
        <v>46083</v>
      </c>
      <c r="D7" t="s">
        <v>29</v>
      </c>
      <c r="E7" s="2" t="str">
        <f t="shared" si="0"/>
        <v>Beta Stores</v>
      </c>
      <c r="F7">
        <v>275000</v>
      </c>
      <c r="G7" t="s">
        <v>12</v>
      </c>
      <c r="H7" s="2">
        <f>F7*IFERROR(VLOOKUP(G7,[2]exchange_rates!$B$1:$C$19,2,0),1)</f>
        <v>3272.5000000000005</v>
      </c>
      <c r="I7" t="s">
        <v>19</v>
      </c>
      <c r="J7" s="2" t="str">
        <f>PROPER(TRIM(I7))</f>
        <v>Captured</v>
      </c>
      <c r="K7">
        <v>64</v>
      </c>
      <c r="L7" s="4">
        <f t="shared" si="1"/>
        <v>64</v>
      </c>
      <c r="N7" s="2" t="str">
        <f>IF(TRIM(M7)&lt;&gt;"", UPPER(TRIM(M7)), IFERROR(VLOOKUP(E7,[1]merchant_master!$B$1:$E$6,4,0), "UNKNOWN"))</f>
        <v>APAC</v>
      </c>
      <c r="O7" t="s">
        <v>36</v>
      </c>
      <c r="P7" t="s">
        <v>37</v>
      </c>
      <c r="Q7" s="2">
        <f t="shared" si="2"/>
        <v>0</v>
      </c>
      <c r="R7" s="2">
        <f t="shared" si="3"/>
        <v>0</v>
      </c>
    </row>
    <row r="8" spans="1:18" x14ac:dyDescent="0.3">
      <c r="A8" t="s">
        <v>38</v>
      </c>
      <c r="B8" s="1">
        <v>46083</v>
      </c>
      <c r="C8" s="3">
        <v>46083</v>
      </c>
      <c r="D8" t="s">
        <v>39</v>
      </c>
      <c r="E8" s="2" t="str">
        <f t="shared" si="0"/>
        <v>Alpha Mart</v>
      </c>
      <c r="F8">
        <v>450000</v>
      </c>
      <c r="G8" t="s">
        <v>12</v>
      </c>
      <c r="H8" s="2">
        <f>F8*IFERROR(VLOOKUP(G8,[2]exchange_rates!$B$1:$C$19,2,0),1)</f>
        <v>5355</v>
      </c>
      <c r="I8" t="s">
        <v>40</v>
      </c>
      <c r="J8" s="2" t="str">
        <f>PROPER(TRIM(I8))</f>
        <v>Chargeback</v>
      </c>
      <c r="K8">
        <v>83</v>
      </c>
      <c r="L8" s="4">
        <f t="shared" si="1"/>
        <v>83</v>
      </c>
      <c r="M8" t="s">
        <v>25</v>
      </c>
      <c r="N8" s="2" t="str">
        <f>IF(TRIM(M8)&lt;&gt;"", UPPER(TRIM(M8)), IFERROR(VLOOKUP(E8,[1]merchant_master!$B$1:$E$6,4,0), "UNKNOWN"))</f>
        <v>APAC</v>
      </c>
      <c r="O8" t="s">
        <v>41</v>
      </c>
      <c r="P8" t="s">
        <v>21</v>
      </c>
      <c r="Q8" s="2">
        <f t="shared" si="2"/>
        <v>1</v>
      </c>
      <c r="R8" s="2">
        <f t="shared" si="3"/>
        <v>1</v>
      </c>
    </row>
    <row r="9" spans="1:18" x14ac:dyDescent="0.3">
      <c r="A9" t="s">
        <v>42</v>
      </c>
      <c r="B9" s="1">
        <v>46084</v>
      </c>
      <c r="C9" s="3">
        <v>46084</v>
      </c>
      <c r="D9" t="s">
        <v>23</v>
      </c>
      <c r="E9" s="2" t="str">
        <f t="shared" si="0"/>
        <v>Beta Stores</v>
      </c>
      <c r="F9">
        <v>340000</v>
      </c>
      <c r="G9" t="s">
        <v>12</v>
      </c>
      <c r="H9" s="2">
        <f>F9*IFERROR(VLOOKUP(G9,[2]exchange_rates!$B$1:$C$19,2,0),1)</f>
        <v>4046.0000000000005</v>
      </c>
      <c r="I9" t="s">
        <v>19</v>
      </c>
      <c r="J9" s="2" t="str">
        <f>PROPER(TRIM(I9))</f>
        <v>Captured</v>
      </c>
      <c r="K9">
        <v>59</v>
      </c>
      <c r="L9" s="4">
        <f t="shared" si="1"/>
        <v>59</v>
      </c>
      <c r="N9" s="2" t="str">
        <f>IF(TRIM(M9)&lt;&gt;"", UPPER(TRIM(M9)), IFERROR(VLOOKUP(E9,[1]merchant_master!$B$1:$E$6,4,0), "UNKNOWN"))</f>
        <v>APAC</v>
      </c>
      <c r="O9" t="s">
        <v>43</v>
      </c>
      <c r="P9" t="s">
        <v>16</v>
      </c>
      <c r="Q9" s="2">
        <f t="shared" si="2"/>
        <v>0</v>
      </c>
      <c r="R9" s="2">
        <f t="shared" si="3"/>
        <v>0</v>
      </c>
    </row>
    <row r="10" spans="1:18" x14ac:dyDescent="0.3">
      <c r="A10" t="s">
        <v>44</v>
      </c>
      <c r="B10" s="1">
        <v>46084</v>
      </c>
      <c r="C10" s="3">
        <v>46084</v>
      </c>
      <c r="D10" t="s">
        <v>34</v>
      </c>
      <c r="E10" s="2" t="str">
        <f t="shared" si="0"/>
        <v>Alpha Mart</v>
      </c>
      <c r="F10">
        <v>125000</v>
      </c>
      <c r="G10" t="s">
        <v>12</v>
      </c>
      <c r="H10" s="2">
        <f>F10*IFERROR(VLOOKUP(G10,[2]exchange_rates!$B$1:$C$19,2,0),1)</f>
        <v>1487.5</v>
      </c>
      <c r="I10" t="s">
        <v>13</v>
      </c>
      <c r="J10" s="2" t="str">
        <f>PROPER(TRIM(I10))</f>
        <v>Captured</v>
      </c>
      <c r="K10">
        <v>46</v>
      </c>
      <c r="L10" s="4">
        <f t="shared" si="1"/>
        <v>46</v>
      </c>
      <c r="M10" t="s">
        <v>14</v>
      </c>
      <c r="N10" s="2" t="str">
        <f>IF(TRIM(M10)&lt;&gt;"", UPPER(TRIM(M10)), IFERROR(VLOOKUP(E10,[1]merchant_master!$B$1:$E$6,4,0), "UNKNOWN"))</f>
        <v>APAC</v>
      </c>
      <c r="O10" t="s">
        <v>20</v>
      </c>
      <c r="P10" t="s">
        <v>37</v>
      </c>
      <c r="Q10" s="2">
        <f t="shared" si="2"/>
        <v>0</v>
      </c>
      <c r="R10" s="2">
        <f t="shared" si="3"/>
        <v>0</v>
      </c>
    </row>
    <row r="11" spans="1:18" x14ac:dyDescent="0.3">
      <c r="A11" t="s">
        <v>45</v>
      </c>
      <c r="B11" s="1">
        <v>46084</v>
      </c>
      <c r="C11" s="3">
        <v>46084</v>
      </c>
      <c r="D11" t="s">
        <v>46</v>
      </c>
      <c r="E11" s="2" t="str">
        <f t="shared" si="0"/>
        <v>Beta Stores</v>
      </c>
      <c r="F11">
        <v>610000</v>
      </c>
      <c r="G11" t="s">
        <v>12</v>
      </c>
      <c r="H11" s="2">
        <f>F11*IFERROR(VLOOKUP(G11,[2]exchange_rates!$B$1:$C$19,2,0),1)</f>
        <v>7259.0000000000009</v>
      </c>
      <c r="I11" t="s">
        <v>13</v>
      </c>
      <c r="J11" s="2" t="str">
        <f>PROPER(TRIM(I11))</f>
        <v>Captured</v>
      </c>
      <c r="K11">
        <v>77</v>
      </c>
      <c r="L11" s="4">
        <f t="shared" si="1"/>
        <v>77</v>
      </c>
      <c r="N11" s="2" t="str">
        <f>IF(TRIM(M11)&lt;&gt;"", UPPER(TRIM(M11)), IFERROR(VLOOKUP(E11,[1]merchant_master!$B$1:$E$6,4,0), "UNKNOWN"))</f>
        <v>APAC</v>
      </c>
      <c r="O11" t="s">
        <v>26</v>
      </c>
      <c r="P11" t="s">
        <v>21</v>
      </c>
      <c r="Q11" s="2">
        <f t="shared" si="2"/>
        <v>1</v>
      </c>
      <c r="R11" s="2">
        <f t="shared" si="3"/>
        <v>1</v>
      </c>
    </row>
    <row r="12" spans="1:18" x14ac:dyDescent="0.3">
      <c r="A12" t="s">
        <v>47</v>
      </c>
      <c r="B12" s="1">
        <v>46084</v>
      </c>
      <c r="C12" s="3">
        <v>46084</v>
      </c>
      <c r="D12" t="s">
        <v>39</v>
      </c>
      <c r="E12" s="2" t="str">
        <f t="shared" si="0"/>
        <v>Alpha Mart</v>
      </c>
      <c r="F12">
        <v>195000</v>
      </c>
      <c r="G12" t="s">
        <v>12</v>
      </c>
      <c r="H12" s="2">
        <f>F12*IFERROR(VLOOKUP(G12,[2]exchange_rates!$B$1:$C$19,2,0),1)</f>
        <v>2320.5</v>
      </c>
      <c r="I12" t="s">
        <v>48</v>
      </c>
      <c r="J12" s="2" t="str">
        <f>PROPER(TRIM(I12))</f>
        <v>Failed E05 Timeout</v>
      </c>
      <c r="L12" s="5" t="str">
        <f t="shared" si="1"/>
        <v>0.00</v>
      </c>
      <c r="N12" s="2" t="str">
        <f>IF(TRIM(M12)&lt;&gt;"", UPPER(TRIM(M12)), IFERROR(VLOOKUP(E12,[1]merchant_master!$B$1:$E$6,4,0), "UNKNOWN"))</f>
        <v>APAC</v>
      </c>
      <c r="O12" t="s">
        <v>49</v>
      </c>
      <c r="P12" t="s">
        <v>16</v>
      </c>
      <c r="Q12" s="2">
        <f t="shared" si="2"/>
        <v>0</v>
      </c>
      <c r="R12" s="2">
        <f t="shared" si="3"/>
        <v>1</v>
      </c>
    </row>
    <row r="13" spans="1:18" x14ac:dyDescent="0.3">
      <c r="A13" t="s">
        <v>50</v>
      </c>
      <c r="B13" s="1">
        <v>46085</v>
      </c>
      <c r="C13" s="3">
        <v>46085</v>
      </c>
      <c r="D13" t="s">
        <v>29</v>
      </c>
      <c r="E13" s="2" t="str">
        <f t="shared" si="0"/>
        <v>Beta Stores</v>
      </c>
      <c r="F13">
        <v>250000</v>
      </c>
      <c r="G13" t="s">
        <v>12</v>
      </c>
      <c r="H13" s="2">
        <f>F13*IFERROR(VLOOKUP(G13,[2]exchange_rates!$B$1:$C$19,2,0),1)</f>
        <v>2975</v>
      </c>
      <c r="I13" t="s">
        <v>51</v>
      </c>
      <c r="J13" s="2" t="str">
        <f>PROPER(TRIM(I13))</f>
        <v>Captured</v>
      </c>
      <c r="K13">
        <v>61</v>
      </c>
      <c r="L13" s="4">
        <f t="shared" si="1"/>
        <v>61</v>
      </c>
      <c r="M13" t="s">
        <v>25</v>
      </c>
      <c r="N13" s="2" t="str">
        <f>IF(TRIM(M13)&lt;&gt;"", UPPER(TRIM(M13)), IFERROR(VLOOKUP(E13,[1]merchant_master!$B$1:$E$6,4,0), "UNKNOWN"))</f>
        <v>APAC</v>
      </c>
      <c r="O13" t="s">
        <v>52</v>
      </c>
      <c r="P13" t="s">
        <v>21</v>
      </c>
      <c r="Q13" s="2">
        <f t="shared" si="2"/>
        <v>0</v>
      </c>
      <c r="R13" s="2">
        <f t="shared" si="3"/>
        <v>0</v>
      </c>
    </row>
    <row r="14" spans="1:18" x14ac:dyDescent="0.3">
      <c r="A14" t="s">
        <v>53</v>
      </c>
      <c r="B14" s="1">
        <v>46085</v>
      </c>
      <c r="C14" s="3">
        <v>46085</v>
      </c>
      <c r="D14" t="s">
        <v>11</v>
      </c>
      <c r="E14" s="2" t="str">
        <f t="shared" si="0"/>
        <v>Alpha Mart</v>
      </c>
      <c r="F14">
        <v>310000</v>
      </c>
      <c r="G14" t="s">
        <v>12</v>
      </c>
      <c r="H14" s="2">
        <f>F14*IFERROR(VLOOKUP(G14,[2]exchange_rates!$B$1:$C$19,2,0),1)</f>
        <v>3689.0000000000005</v>
      </c>
      <c r="I14" t="s">
        <v>51</v>
      </c>
      <c r="J14" s="2" t="str">
        <f>PROPER(TRIM(I14))</f>
        <v>Captured</v>
      </c>
      <c r="K14">
        <v>54</v>
      </c>
      <c r="L14" s="4">
        <f t="shared" si="1"/>
        <v>54</v>
      </c>
      <c r="M14" t="s">
        <v>14</v>
      </c>
      <c r="N14" s="2" t="str">
        <f>IF(TRIM(M14)&lt;&gt;"", UPPER(TRIM(M14)), IFERROR(VLOOKUP(E14,[1]merchant_master!$B$1:$E$6,4,0), "UNKNOWN"))</f>
        <v>APAC</v>
      </c>
      <c r="O14" t="s">
        <v>54</v>
      </c>
      <c r="P14" t="s">
        <v>16</v>
      </c>
      <c r="Q14" s="2">
        <f t="shared" si="2"/>
        <v>0</v>
      </c>
      <c r="R14" s="2">
        <f t="shared" si="3"/>
        <v>0</v>
      </c>
    </row>
    <row r="15" spans="1:18" x14ac:dyDescent="0.3">
      <c r="A15" t="s">
        <v>55</v>
      </c>
      <c r="B15" s="1">
        <v>46085</v>
      </c>
      <c r="C15" s="3">
        <v>46085</v>
      </c>
      <c r="D15" t="s">
        <v>29</v>
      </c>
      <c r="E15" s="2" t="str">
        <f t="shared" si="0"/>
        <v>Beta Stores</v>
      </c>
      <c r="F15">
        <v>470000</v>
      </c>
      <c r="G15" t="s">
        <v>12</v>
      </c>
      <c r="H15" s="2">
        <f>F15*IFERROR(VLOOKUP(G15,[2]exchange_rates!$B$1:$C$19,2,0),1)</f>
        <v>5593</v>
      </c>
      <c r="I15" t="s">
        <v>51</v>
      </c>
      <c r="J15" s="2" t="str">
        <f>PROPER(TRIM(I15))</f>
        <v>Captured</v>
      </c>
      <c r="K15">
        <v>73</v>
      </c>
      <c r="L15" s="4">
        <f t="shared" si="1"/>
        <v>73</v>
      </c>
      <c r="M15" t="s">
        <v>14</v>
      </c>
      <c r="N15" s="2" t="str">
        <f>IF(TRIM(M15)&lt;&gt;"", UPPER(TRIM(M15)), IFERROR(VLOOKUP(E15,[1]merchant_master!$B$1:$E$6,4,0), "UNKNOWN"))</f>
        <v>APAC</v>
      </c>
      <c r="O15" t="s">
        <v>15</v>
      </c>
      <c r="P15" t="s">
        <v>27</v>
      </c>
      <c r="Q15" s="2">
        <f t="shared" si="2"/>
        <v>1</v>
      </c>
      <c r="R15" s="2">
        <f t="shared" si="3"/>
        <v>1</v>
      </c>
    </row>
    <row r="16" spans="1:18" x14ac:dyDescent="0.3">
      <c r="A16" t="s">
        <v>56</v>
      </c>
      <c r="B16" s="1">
        <v>46085</v>
      </c>
      <c r="C16" s="3">
        <v>46085</v>
      </c>
      <c r="D16" t="s">
        <v>34</v>
      </c>
      <c r="E16" s="2" t="str">
        <f t="shared" si="0"/>
        <v>Alpha Mart</v>
      </c>
      <c r="F16">
        <v>130000</v>
      </c>
      <c r="G16" t="s">
        <v>12</v>
      </c>
      <c r="H16" s="2">
        <f>F16*IFERROR(VLOOKUP(G16,[2]exchange_rates!$B$1:$C$19,2,0),1)</f>
        <v>1547</v>
      </c>
      <c r="I16" t="s">
        <v>13</v>
      </c>
      <c r="J16" s="2" t="str">
        <f>PROPER(TRIM(I16))</f>
        <v>Captured</v>
      </c>
      <c r="K16">
        <v>52</v>
      </c>
      <c r="L16" s="4">
        <f t="shared" si="1"/>
        <v>52</v>
      </c>
      <c r="N16" s="2" t="str">
        <f>IF(TRIM(M16)&lt;&gt;"", UPPER(TRIM(M16)), IFERROR(VLOOKUP(E16,[1]merchant_master!$B$1:$E$6,4,0), "UNKNOWN"))</f>
        <v>APAC</v>
      </c>
      <c r="O16" t="s">
        <v>20</v>
      </c>
      <c r="P16" t="s">
        <v>21</v>
      </c>
      <c r="Q16" s="2">
        <f t="shared" si="2"/>
        <v>0</v>
      </c>
      <c r="R16" s="2">
        <f t="shared" si="3"/>
        <v>0</v>
      </c>
    </row>
    <row r="17" spans="1:18" x14ac:dyDescent="0.3">
      <c r="A17" t="s">
        <v>57</v>
      </c>
      <c r="B17" s="1">
        <v>46086</v>
      </c>
      <c r="C17" s="3">
        <v>46086</v>
      </c>
      <c r="D17" t="s">
        <v>29</v>
      </c>
      <c r="E17" s="2" t="str">
        <f t="shared" si="0"/>
        <v>Beta Stores</v>
      </c>
      <c r="F17">
        <v>220000</v>
      </c>
      <c r="G17" t="s">
        <v>12</v>
      </c>
      <c r="H17" s="2">
        <f>F17*IFERROR(VLOOKUP(G17,[2]exchange_rates!$B$1:$C$19,2,0),1)</f>
        <v>2618</v>
      </c>
      <c r="I17" t="s">
        <v>58</v>
      </c>
      <c r="J17" s="2" t="str">
        <f>PROPER(TRIM(I17))</f>
        <v>Failed E05 Timeout</v>
      </c>
      <c r="K17">
        <v>69</v>
      </c>
      <c r="L17" s="4">
        <f t="shared" si="1"/>
        <v>69</v>
      </c>
      <c r="N17" s="2" t="str">
        <f>IF(TRIM(M17)&lt;&gt;"", UPPER(TRIM(M17)), IFERROR(VLOOKUP(E17,[1]merchant_master!$B$1:$E$6,4,0), "UNKNOWN"))</f>
        <v>APAC</v>
      </c>
      <c r="O17" t="s">
        <v>49</v>
      </c>
      <c r="P17" t="s">
        <v>21</v>
      </c>
      <c r="Q17" s="2">
        <f t="shared" si="2"/>
        <v>0</v>
      </c>
      <c r="R17" s="2">
        <f t="shared" si="3"/>
        <v>0</v>
      </c>
    </row>
    <row r="18" spans="1:18" x14ac:dyDescent="0.3">
      <c r="A18" t="s">
        <v>59</v>
      </c>
      <c r="B18" s="1">
        <v>46086</v>
      </c>
      <c r="C18" s="3">
        <v>46086</v>
      </c>
      <c r="D18" t="s">
        <v>29</v>
      </c>
      <c r="E18" s="2" t="str">
        <f t="shared" si="0"/>
        <v>Beta Stores</v>
      </c>
      <c r="F18">
        <v>180000</v>
      </c>
      <c r="G18" t="s">
        <v>12</v>
      </c>
      <c r="H18" s="2">
        <f>F18*IFERROR(VLOOKUP(G18,[2]exchange_rates!$B$1:$C$19,2,0),1)</f>
        <v>2142</v>
      </c>
      <c r="I18" t="s">
        <v>60</v>
      </c>
      <c r="J18" s="2" t="str">
        <f>PROPER(TRIM(I18))</f>
        <v>Failed E05 Timeout</v>
      </c>
      <c r="K18">
        <v>72</v>
      </c>
      <c r="L18" s="4">
        <f t="shared" si="1"/>
        <v>72</v>
      </c>
      <c r="M18" t="s">
        <v>31</v>
      </c>
      <c r="N18" s="2" t="str">
        <f>IF(TRIM(M18)&lt;&gt;"", UPPER(TRIM(M18)), IFERROR(VLOOKUP(E18,[1]merchant_master!$B$1:$E$6,4,0), "UNKNOWN"))</f>
        <v>APAC</v>
      </c>
      <c r="O18" t="s">
        <v>49</v>
      </c>
      <c r="P18" t="s">
        <v>21</v>
      </c>
      <c r="Q18" s="2">
        <f t="shared" si="2"/>
        <v>0</v>
      </c>
      <c r="R18" s="2">
        <f t="shared" si="3"/>
        <v>1</v>
      </c>
    </row>
    <row r="19" spans="1:18" x14ac:dyDescent="0.3">
      <c r="A19" t="s">
        <v>61</v>
      </c>
      <c r="B19" s="1">
        <v>46086</v>
      </c>
      <c r="C19" s="3">
        <v>46086</v>
      </c>
      <c r="D19" t="s">
        <v>23</v>
      </c>
      <c r="E19" s="2" t="str">
        <f t="shared" si="0"/>
        <v>Beta Stores</v>
      </c>
      <c r="F19">
        <v>145000</v>
      </c>
      <c r="G19" t="s">
        <v>12</v>
      </c>
      <c r="H19" s="2">
        <f>F19*IFERROR(VLOOKUP(G19,[2]exchange_rates!$B$1:$C$19,2,0),1)</f>
        <v>1725.5000000000002</v>
      </c>
      <c r="I19" t="s">
        <v>62</v>
      </c>
      <c r="J19" s="2" t="str">
        <f>PROPER(TRIM(I19))</f>
        <v>Chargeback</v>
      </c>
      <c r="K19">
        <v>86</v>
      </c>
      <c r="L19" s="4">
        <f t="shared" si="1"/>
        <v>86</v>
      </c>
      <c r="M19" t="s">
        <v>25</v>
      </c>
      <c r="N19" s="2" t="str">
        <f>IF(TRIM(M19)&lt;&gt;"", UPPER(TRIM(M19)), IFERROR(VLOOKUP(E19,[1]merchant_master!$B$1:$E$6,4,0), "UNKNOWN"))</f>
        <v>APAC</v>
      </c>
      <c r="O19" t="s">
        <v>49</v>
      </c>
      <c r="P19" t="s">
        <v>16</v>
      </c>
      <c r="Q19" s="2">
        <f t="shared" si="2"/>
        <v>0</v>
      </c>
      <c r="R19" s="2">
        <f t="shared" si="3"/>
        <v>1</v>
      </c>
    </row>
    <row r="20" spans="1:18" x14ac:dyDescent="0.3">
      <c r="A20" t="s">
        <v>63</v>
      </c>
      <c r="B20" s="1">
        <v>46086</v>
      </c>
      <c r="C20" s="3">
        <v>46086</v>
      </c>
      <c r="D20" t="s">
        <v>39</v>
      </c>
      <c r="E20" s="2" t="str">
        <f t="shared" si="0"/>
        <v>Alpha Mart</v>
      </c>
      <c r="F20">
        <v>260000</v>
      </c>
      <c r="G20" t="s">
        <v>12</v>
      </c>
      <c r="H20" s="2">
        <f>F20*IFERROR(VLOOKUP(G20,[2]exchange_rates!$B$1:$C$19,2,0),1)</f>
        <v>3094</v>
      </c>
      <c r="I20" t="s">
        <v>60</v>
      </c>
      <c r="J20" s="2" t="str">
        <f>PROPER(TRIM(I20))</f>
        <v>Failed E05 Timeout</v>
      </c>
      <c r="K20">
        <v>67</v>
      </c>
      <c r="L20" s="4">
        <f t="shared" si="1"/>
        <v>67</v>
      </c>
      <c r="M20" t="s">
        <v>31</v>
      </c>
      <c r="N20" s="2" t="str">
        <f>IF(TRIM(M20)&lt;&gt;"", UPPER(TRIM(M20)), IFERROR(VLOOKUP(E20,[1]merchant_master!$B$1:$E$6,4,0), "UNKNOWN"))</f>
        <v>APAC</v>
      </c>
      <c r="O20" t="s">
        <v>49</v>
      </c>
      <c r="P20" t="s">
        <v>37</v>
      </c>
      <c r="Q20" s="2">
        <f t="shared" si="2"/>
        <v>0</v>
      </c>
      <c r="R20" s="2">
        <f t="shared" si="3"/>
        <v>0</v>
      </c>
    </row>
    <row r="21" spans="1:18" x14ac:dyDescent="0.3">
      <c r="A21" t="s">
        <v>64</v>
      </c>
      <c r="B21" s="1">
        <v>46086</v>
      </c>
      <c r="C21" s="3">
        <v>46086</v>
      </c>
      <c r="D21" t="s">
        <v>34</v>
      </c>
      <c r="E21" s="2" t="str">
        <f t="shared" si="0"/>
        <v>Alpha Mart</v>
      </c>
      <c r="F21">
        <v>520000</v>
      </c>
      <c r="G21" t="s">
        <v>12</v>
      </c>
      <c r="H21" s="2">
        <f>F21*IFERROR(VLOOKUP(G21,[2]exchange_rates!$B$1:$C$19,2,0),1)</f>
        <v>6188</v>
      </c>
      <c r="I21" t="s">
        <v>19</v>
      </c>
      <c r="J21" s="2" t="str">
        <f>PROPER(TRIM(I21))</f>
        <v>Captured</v>
      </c>
      <c r="K21">
        <v>75</v>
      </c>
      <c r="L21" s="4">
        <f t="shared" si="1"/>
        <v>75</v>
      </c>
      <c r="M21" t="s">
        <v>14</v>
      </c>
      <c r="N21" s="2" t="str">
        <f>IF(TRIM(M21)&lt;&gt;"", UPPER(TRIM(M21)), IFERROR(VLOOKUP(E21,[1]merchant_master!$B$1:$E$6,4,0), "UNKNOWN"))</f>
        <v>APAC</v>
      </c>
      <c r="O21" t="s">
        <v>36</v>
      </c>
      <c r="P21" t="s">
        <v>16</v>
      </c>
      <c r="Q21" s="2">
        <f t="shared" si="2"/>
        <v>1</v>
      </c>
      <c r="R21" s="2">
        <f t="shared" si="3"/>
        <v>1</v>
      </c>
    </row>
    <row r="22" spans="1:18" x14ac:dyDescent="0.3">
      <c r="A22" t="s">
        <v>65</v>
      </c>
      <c r="B22" s="1">
        <v>46087</v>
      </c>
      <c r="C22" s="3">
        <v>46087</v>
      </c>
      <c r="D22" t="s">
        <v>66</v>
      </c>
      <c r="E22" s="2" t="str">
        <f t="shared" si="0"/>
        <v>Beta Stores</v>
      </c>
      <c r="F22">
        <v>330000</v>
      </c>
      <c r="G22" t="s">
        <v>12</v>
      </c>
      <c r="H22" s="2">
        <f>F22*IFERROR(VLOOKUP(G22,[2]exchange_rates!$B$1:$C$19,2,0),1)</f>
        <v>3927.0000000000005</v>
      </c>
      <c r="I22" t="s">
        <v>51</v>
      </c>
      <c r="J22" s="2" t="str">
        <f>PROPER(TRIM(I22))</f>
        <v>Captured</v>
      </c>
      <c r="K22">
        <v>63</v>
      </c>
      <c r="L22" s="4">
        <f t="shared" si="1"/>
        <v>63</v>
      </c>
      <c r="N22" s="2" t="str">
        <f>IF(TRIM(M22)&lt;&gt;"", UPPER(TRIM(M22)), IFERROR(VLOOKUP(E22,[1]merchant_master!$B$1:$E$6,4,0), "UNKNOWN"))</f>
        <v>APAC</v>
      </c>
      <c r="O22" t="s">
        <v>41</v>
      </c>
      <c r="P22" t="s">
        <v>21</v>
      </c>
      <c r="Q22" s="2">
        <f t="shared" si="2"/>
        <v>0</v>
      </c>
      <c r="R22" s="2">
        <f t="shared" si="3"/>
        <v>0</v>
      </c>
    </row>
    <row r="23" spans="1:18" x14ac:dyDescent="0.3">
      <c r="A23" t="s">
        <v>67</v>
      </c>
      <c r="B23" s="1">
        <v>46087</v>
      </c>
      <c r="C23" s="3">
        <v>46087</v>
      </c>
      <c r="D23" t="s">
        <v>18</v>
      </c>
      <c r="E23" s="2" t="str">
        <f t="shared" si="0"/>
        <v>Alpha Mart</v>
      </c>
      <c r="F23">
        <v>410000</v>
      </c>
      <c r="G23" t="s">
        <v>12</v>
      </c>
      <c r="H23" s="2">
        <f>F23*IFERROR(VLOOKUP(G23,[2]exchange_rates!$B$1:$C$19,2,0),1)</f>
        <v>4879</v>
      </c>
      <c r="I23" t="s">
        <v>51</v>
      </c>
      <c r="J23" s="2" t="str">
        <f>PROPER(TRIM(I23))</f>
        <v>Captured</v>
      </c>
      <c r="K23">
        <v>60</v>
      </c>
      <c r="L23" s="4">
        <f t="shared" si="1"/>
        <v>60</v>
      </c>
      <c r="M23" t="s">
        <v>14</v>
      </c>
      <c r="N23" s="2" t="str">
        <f>IF(TRIM(M23)&lt;&gt;"", UPPER(TRIM(M23)), IFERROR(VLOOKUP(E23,[1]merchant_master!$B$1:$E$6,4,0), "UNKNOWN"))</f>
        <v>APAC</v>
      </c>
      <c r="O23" t="s">
        <v>43</v>
      </c>
      <c r="P23" t="s">
        <v>16</v>
      </c>
      <c r="Q23" s="2">
        <f t="shared" si="2"/>
        <v>0</v>
      </c>
      <c r="R23" s="2">
        <f t="shared" si="3"/>
        <v>0</v>
      </c>
    </row>
    <row r="24" spans="1:18" x14ac:dyDescent="0.3">
      <c r="A24" t="s">
        <v>68</v>
      </c>
      <c r="B24" s="1">
        <v>46082</v>
      </c>
      <c r="C24" s="3">
        <v>46082</v>
      </c>
      <c r="D24" t="s">
        <v>69</v>
      </c>
      <c r="E24" s="2" t="str">
        <f t="shared" si="0"/>
        <v>City Pharma</v>
      </c>
      <c r="F24">
        <v>5200</v>
      </c>
      <c r="G24" t="s">
        <v>70</v>
      </c>
      <c r="H24" s="2">
        <f>F24*IFERROR(VLOOKUP(G24,[2]exchange_rates!$B$1:$C$19,2,0),1)</f>
        <v>5616</v>
      </c>
      <c r="I24" t="s">
        <v>19</v>
      </c>
      <c r="J24" s="2" t="str">
        <f>PROPER(TRIM(I24))</f>
        <v>Captured</v>
      </c>
      <c r="K24">
        <v>42</v>
      </c>
      <c r="L24" s="4">
        <f t="shared" si="1"/>
        <v>42</v>
      </c>
      <c r="M24" t="s">
        <v>71</v>
      </c>
      <c r="N24" s="2" t="str">
        <f>IF(TRIM(M24)&lt;&gt;"", UPPER(TRIM(M24)), IFERROR(VLOOKUP(E24,[1]merchant_master!$B$1:$E$6,4,0), "UNKNOWN"))</f>
        <v>EU</v>
      </c>
      <c r="O24" t="s">
        <v>26</v>
      </c>
      <c r="P24" t="s">
        <v>21</v>
      </c>
      <c r="Q24" s="2">
        <f t="shared" si="2"/>
        <v>0</v>
      </c>
      <c r="R24" s="2">
        <f t="shared" si="3"/>
        <v>0</v>
      </c>
    </row>
    <row r="25" spans="1:18" x14ac:dyDescent="0.3">
      <c r="A25" t="s">
        <v>72</v>
      </c>
      <c r="B25" s="1">
        <v>46083</v>
      </c>
      <c r="C25" s="3">
        <v>46083</v>
      </c>
      <c r="D25" t="s">
        <v>73</v>
      </c>
      <c r="E25" s="2" t="str">
        <f t="shared" si="0"/>
        <v>Eco Home</v>
      </c>
      <c r="F25">
        <v>6100</v>
      </c>
      <c r="G25" t="s">
        <v>70</v>
      </c>
      <c r="H25" s="2">
        <f>F25*IFERROR(VLOOKUP(G25,[2]exchange_rates!$B$1:$C$19,2,0),1)</f>
        <v>6588</v>
      </c>
      <c r="I25" t="s">
        <v>62</v>
      </c>
      <c r="J25" s="2" t="str">
        <f>PROPER(TRIM(I25))</f>
        <v>Chargeback</v>
      </c>
      <c r="K25">
        <v>65</v>
      </c>
      <c r="L25" s="4">
        <f t="shared" si="1"/>
        <v>65</v>
      </c>
      <c r="M25" t="s">
        <v>74</v>
      </c>
      <c r="N25" s="2" t="str">
        <f>IF(TRIM(M25)&lt;&gt;"", UPPER(TRIM(M25)), IFERROR(VLOOKUP(E25,[1]merchant_master!$B$1:$E$6,4,0), "UNKNOWN"))</f>
        <v>EU</v>
      </c>
      <c r="O25" t="s">
        <v>32</v>
      </c>
      <c r="P25" t="s">
        <v>21</v>
      </c>
      <c r="Q25" s="2">
        <f t="shared" si="2"/>
        <v>1</v>
      </c>
      <c r="R25" s="2">
        <f t="shared" si="3"/>
        <v>1</v>
      </c>
    </row>
    <row r="26" spans="1:18" x14ac:dyDescent="0.3">
      <c r="A26" t="s">
        <v>75</v>
      </c>
      <c r="B26" s="1">
        <v>46084</v>
      </c>
      <c r="C26" s="3">
        <v>46084</v>
      </c>
      <c r="D26" t="s">
        <v>69</v>
      </c>
      <c r="E26" s="2" t="str">
        <f t="shared" si="0"/>
        <v>City Pharma</v>
      </c>
      <c r="F26">
        <v>2800</v>
      </c>
      <c r="G26" t="s">
        <v>70</v>
      </c>
      <c r="H26" s="2">
        <f>F26*IFERROR(VLOOKUP(G26,[2]exchange_rates!$B$1:$C$19,2,0),1)</f>
        <v>3024</v>
      </c>
      <c r="I26" t="s">
        <v>51</v>
      </c>
      <c r="J26" s="2" t="str">
        <f>PROPER(TRIM(I26))</f>
        <v>Captured</v>
      </c>
      <c r="K26">
        <v>38</v>
      </c>
      <c r="L26" s="4">
        <f t="shared" si="1"/>
        <v>38</v>
      </c>
      <c r="M26" t="s">
        <v>76</v>
      </c>
      <c r="N26" s="2" t="str">
        <f>IF(TRIM(M26)&lt;&gt;"", UPPER(TRIM(M26)), IFERROR(VLOOKUP(E26,[1]merchant_master!$B$1:$E$6,4,0), "UNKNOWN"))</f>
        <v>EU</v>
      </c>
      <c r="O26" t="s">
        <v>36</v>
      </c>
      <c r="P26" t="s">
        <v>37</v>
      </c>
      <c r="Q26" s="2">
        <f t="shared" si="2"/>
        <v>0</v>
      </c>
      <c r="R26" s="2">
        <f t="shared" si="3"/>
        <v>0</v>
      </c>
    </row>
    <row r="27" spans="1:18" x14ac:dyDescent="0.3">
      <c r="A27" t="s">
        <v>77</v>
      </c>
      <c r="B27" s="1">
        <v>46086</v>
      </c>
      <c r="C27" s="3">
        <v>46086</v>
      </c>
      <c r="D27" t="s">
        <v>73</v>
      </c>
      <c r="E27" s="2" t="str">
        <f t="shared" si="0"/>
        <v>Eco Home</v>
      </c>
      <c r="F27">
        <v>3300</v>
      </c>
      <c r="G27" t="s">
        <v>70</v>
      </c>
      <c r="H27" s="2">
        <f>F27*IFERROR(VLOOKUP(G27,[2]exchange_rates!$B$1:$C$19,2,0),1)</f>
        <v>3564.0000000000005</v>
      </c>
      <c r="I27" t="s">
        <v>60</v>
      </c>
      <c r="J27" s="2" t="str">
        <f>PROPER(TRIM(I27))</f>
        <v>Failed E05 Timeout</v>
      </c>
      <c r="K27">
        <v>44</v>
      </c>
      <c r="L27" s="4">
        <f t="shared" si="1"/>
        <v>44</v>
      </c>
      <c r="M27" t="s">
        <v>71</v>
      </c>
      <c r="N27" s="2" t="str">
        <f>IF(TRIM(M27)&lt;&gt;"", UPPER(TRIM(M27)), IFERROR(VLOOKUP(E27,[1]merchant_master!$B$1:$E$6,4,0), "UNKNOWN"))</f>
        <v>EU</v>
      </c>
      <c r="O27" t="s">
        <v>41</v>
      </c>
      <c r="P27" t="s">
        <v>27</v>
      </c>
      <c r="Q27" s="2">
        <f t="shared" si="2"/>
        <v>0</v>
      </c>
      <c r="R27" s="2">
        <f t="shared" si="3"/>
        <v>0</v>
      </c>
    </row>
    <row r="28" spans="1:18" x14ac:dyDescent="0.3">
      <c r="A28" t="s">
        <v>78</v>
      </c>
      <c r="B28" s="1">
        <v>46082</v>
      </c>
      <c r="C28" s="3">
        <v>46082</v>
      </c>
      <c r="D28" t="s">
        <v>79</v>
      </c>
      <c r="E28" s="2" t="str">
        <f t="shared" si="0"/>
        <v>Delta Travels</v>
      </c>
      <c r="F28">
        <v>7200</v>
      </c>
      <c r="G28" t="s">
        <v>80</v>
      </c>
      <c r="H28" s="2">
        <f>F28*IFERROR(VLOOKUP(G28,[2]exchange_rates!$B$1:$C$19,2,0),1)</f>
        <v>7200</v>
      </c>
      <c r="I28" t="s">
        <v>51</v>
      </c>
      <c r="J28" s="2" t="str">
        <f>PROPER(TRIM(I28))</f>
        <v>Captured</v>
      </c>
      <c r="K28">
        <v>49</v>
      </c>
      <c r="L28" s="4">
        <f t="shared" si="1"/>
        <v>49</v>
      </c>
      <c r="M28" t="s">
        <v>81</v>
      </c>
      <c r="N28" s="2" t="str">
        <f>IF(TRIM(M28)&lt;&gt;"", UPPER(TRIM(M28)), IFERROR(VLOOKUP(E28,[1]merchant_master!$B$1:$E$6,4,0), "UNKNOWN"))</f>
        <v>US</v>
      </c>
      <c r="O28" t="s">
        <v>43</v>
      </c>
      <c r="P28" t="s">
        <v>21</v>
      </c>
      <c r="Q28" s="2">
        <f t="shared" si="2"/>
        <v>1</v>
      </c>
      <c r="R28" s="2">
        <f t="shared" si="3"/>
        <v>0</v>
      </c>
    </row>
    <row r="29" spans="1:18" x14ac:dyDescent="0.3">
      <c r="A29" t="s">
        <v>82</v>
      </c>
      <c r="B29" s="1">
        <v>46083</v>
      </c>
      <c r="C29" s="3">
        <v>46083</v>
      </c>
      <c r="D29" t="s">
        <v>83</v>
      </c>
      <c r="E29" s="2" t="str">
        <f t="shared" si="0"/>
        <v>Delta Travels</v>
      </c>
      <c r="F29">
        <v>3100</v>
      </c>
      <c r="G29" t="s">
        <v>80</v>
      </c>
      <c r="H29" s="2">
        <f>F29*IFERROR(VLOOKUP(G29,[2]exchange_rates!$B$1:$C$19,2,0),1)</f>
        <v>3100</v>
      </c>
      <c r="I29" t="s">
        <v>24</v>
      </c>
      <c r="J29" s="2" t="str">
        <f>PROPER(TRIM(I29))</f>
        <v>Captured</v>
      </c>
      <c r="K29">
        <v>41</v>
      </c>
      <c r="L29" s="4">
        <f t="shared" si="1"/>
        <v>41</v>
      </c>
      <c r="M29" t="s">
        <v>84</v>
      </c>
      <c r="N29" s="2" t="str">
        <f>IF(TRIM(M29)&lt;&gt;"", UPPER(TRIM(M29)), IFERROR(VLOOKUP(E29,[1]merchant_master!$B$1:$E$6,4,0), "UNKNOWN"))</f>
        <v>US</v>
      </c>
      <c r="O29" t="s">
        <v>49</v>
      </c>
      <c r="P29" t="s">
        <v>21</v>
      </c>
      <c r="Q29" s="2">
        <f t="shared" si="2"/>
        <v>0</v>
      </c>
      <c r="R29" s="2">
        <f t="shared" si="3"/>
        <v>0</v>
      </c>
    </row>
    <row r="30" spans="1:18" x14ac:dyDescent="0.3">
      <c r="A30" t="s">
        <v>85</v>
      </c>
      <c r="B30" s="1">
        <v>46085</v>
      </c>
      <c r="C30" s="3">
        <v>46085</v>
      </c>
      <c r="D30" t="s">
        <v>86</v>
      </c>
      <c r="E30" s="2" t="str">
        <f t="shared" si="0"/>
        <v>Delta Travels</v>
      </c>
      <c r="F30">
        <v>2500</v>
      </c>
      <c r="G30" t="s">
        <v>80</v>
      </c>
      <c r="H30" s="2">
        <f>F30*IFERROR(VLOOKUP(G30,[2]exchange_rates!$B$1:$C$19,2,0),1)</f>
        <v>2500</v>
      </c>
      <c r="I30" t="s">
        <v>62</v>
      </c>
      <c r="J30" s="2" t="str">
        <f>PROPER(TRIM(I30))</f>
        <v>Chargeback</v>
      </c>
      <c r="K30">
        <v>58</v>
      </c>
      <c r="L30" s="4">
        <f t="shared" si="1"/>
        <v>58</v>
      </c>
      <c r="M30" t="s">
        <v>84</v>
      </c>
      <c r="N30" s="2" t="str">
        <f>IF(TRIM(M30)&lt;&gt;"", UPPER(TRIM(M30)), IFERROR(VLOOKUP(E30,[1]merchant_master!$B$1:$E$6,4,0), "UNKNOWN"))</f>
        <v>US</v>
      </c>
      <c r="O30" t="s">
        <v>52</v>
      </c>
      <c r="P30" t="s">
        <v>37</v>
      </c>
      <c r="Q30" s="2">
        <f t="shared" si="2"/>
        <v>0</v>
      </c>
      <c r="R30" s="2">
        <f t="shared" si="3"/>
        <v>1</v>
      </c>
    </row>
    <row r="31" spans="1:18" x14ac:dyDescent="0.3">
      <c r="A31" t="s">
        <v>87</v>
      </c>
      <c r="B31" s="1">
        <v>46087</v>
      </c>
      <c r="C31" s="3">
        <v>46087</v>
      </c>
      <c r="D31" t="s">
        <v>79</v>
      </c>
      <c r="E31" s="2" t="str">
        <f t="shared" si="0"/>
        <v>Delta Travels</v>
      </c>
      <c r="F31">
        <v>1800</v>
      </c>
      <c r="G31" t="s">
        <v>80</v>
      </c>
      <c r="H31" s="2">
        <f>F31*IFERROR(VLOOKUP(G31,[2]exchange_rates!$B$1:$C$19,2,0),1)</f>
        <v>1800</v>
      </c>
      <c r="I31" t="s">
        <v>60</v>
      </c>
      <c r="J31" s="2" t="str">
        <f>PROPER(TRIM(I31))</f>
        <v>Failed E05 Timeout</v>
      </c>
      <c r="K31">
        <v>47</v>
      </c>
      <c r="L31" s="4">
        <f t="shared" si="1"/>
        <v>47</v>
      </c>
      <c r="M31" t="s">
        <v>84</v>
      </c>
      <c r="N31" s="2" t="str">
        <f>IF(TRIM(M31)&lt;&gt;"", UPPER(TRIM(M31)), IFERROR(VLOOKUP(E31,[1]merchant_master!$B$1:$E$6,4,0), "UNKNOWN"))</f>
        <v>US</v>
      </c>
      <c r="O31" t="s">
        <v>54</v>
      </c>
      <c r="P31" t="s">
        <v>16</v>
      </c>
      <c r="Q31" s="2">
        <f t="shared" si="2"/>
        <v>0</v>
      </c>
      <c r="R31" s="2">
        <f t="shared" si="3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 NAWANI</dc:creator>
  <cp:lastModifiedBy>SIMRAN NAWANI</cp:lastModifiedBy>
  <dcterms:created xsi:type="dcterms:W3CDTF">2026-04-26T18:43:56Z</dcterms:created>
  <dcterms:modified xsi:type="dcterms:W3CDTF">2026-04-26T19:20:01Z</dcterms:modified>
</cp:coreProperties>
</file>